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Sheet1!$B$2:$F$12</definedName>
  </definedNames>
  <calcPr calcId="124519"/>
</workbook>
</file>

<file path=xl/calcChain.xml><?xml version="1.0" encoding="utf-8"?>
<calcChain xmlns="http://schemas.openxmlformats.org/spreadsheetml/2006/main">
  <c r="F12" i="1"/>
  <c r="F7"/>
  <c r="F11"/>
  <c r="F10"/>
  <c r="D6"/>
  <c r="D5"/>
</calcChain>
</file>

<file path=xl/sharedStrings.xml><?xml version="1.0" encoding="utf-8"?>
<sst xmlns="http://schemas.openxmlformats.org/spreadsheetml/2006/main" count="20" uniqueCount="13">
  <si>
    <t>s/no</t>
  </si>
  <si>
    <t>quantity</t>
  </si>
  <si>
    <t>estimate</t>
  </si>
  <si>
    <t>comparative analysis</t>
  </si>
  <si>
    <t>Manhole cover</t>
  </si>
  <si>
    <t>s/f of ring 22'' and 26"</t>
  </si>
  <si>
    <t>ON MES SCHEDULE</t>
  </si>
  <si>
    <t>ON MARKET FROM STORE</t>
  </si>
  <si>
    <t>RATE</t>
  </si>
  <si>
    <t xml:space="preserve"> S/NO</t>
  </si>
  <si>
    <t>DESCRIPTION</t>
  </si>
  <si>
    <t>TOTAL</t>
  </si>
  <si>
    <t xml:space="preserve">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</si>
</sst>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4" fillId="0" borderId="1" xfId="0" applyFont="1" applyBorder="1"/>
    <xf numFmtId="1" fontId="0" fillId="0" borderId="1" xfId="0" applyNumberForma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2"/>
  <sheetViews>
    <sheetView tabSelected="1" topLeftCell="B1" workbookViewId="0">
      <selection activeCell="I29" sqref="I29"/>
    </sheetView>
  </sheetViews>
  <sheetFormatPr defaultRowHeight="15"/>
  <cols>
    <col min="3" max="3" width="27.140625" customWidth="1"/>
    <col min="4" max="5" width="14.7109375" customWidth="1"/>
    <col min="6" max="6" width="10.140625" customWidth="1"/>
  </cols>
  <sheetData>
    <row r="2" spans="2:7" ht="23.25">
      <c r="B2" s="5" t="s">
        <v>3</v>
      </c>
      <c r="C2" s="5"/>
      <c r="D2" s="5"/>
      <c r="E2" s="5"/>
      <c r="F2" s="5"/>
      <c r="G2" t="s">
        <v>12</v>
      </c>
    </row>
    <row r="3" spans="2:7" ht="23.25">
      <c r="B3" s="5" t="s">
        <v>6</v>
      </c>
      <c r="C3" s="5"/>
      <c r="D3" s="5"/>
      <c r="E3" s="5"/>
      <c r="F3" s="5"/>
    </row>
    <row r="4" spans="2:7" ht="15.75">
      <c r="B4" s="1" t="s">
        <v>0</v>
      </c>
      <c r="C4" s="1" t="s">
        <v>10</v>
      </c>
      <c r="D4" s="1" t="s">
        <v>8</v>
      </c>
      <c r="E4" s="1" t="s">
        <v>1</v>
      </c>
      <c r="F4" s="2" t="s">
        <v>2</v>
      </c>
    </row>
    <row r="5" spans="2:7">
      <c r="B5" s="1">
        <v>1</v>
      </c>
      <c r="C5" s="1" t="s">
        <v>4</v>
      </c>
      <c r="D5" s="3">
        <f>F5/E5</f>
        <v>4907.4646464646466</v>
      </c>
      <c r="E5" s="1">
        <v>396</v>
      </c>
      <c r="F5" s="1">
        <v>1943356</v>
      </c>
    </row>
    <row r="6" spans="2:7">
      <c r="B6" s="1">
        <v>2</v>
      </c>
      <c r="C6" s="1" t="s">
        <v>5</v>
      </c>
      <c r="D6" s="3">
        <f>F6/E6</f>
        <v>5501.4930555555557</v>
      </c>
      <c r="E6" s="1">
        <v>288</v>
      </c>
      <c r="F6" s="1">
        <v>1584430</v>
      </c>
    </row>
    <row r="7" spans="2:7">
      <c r="B7" s="1"/>
      <c r="C7" s="7" t="s">
        <v>11</v>
      </c>
      <c r="D7" s="7"/>
      <c r="E7" s="7"/>
      <c r="F7" s="4">
        <f>SUM(F5:F6)</f>
        <v>3527786</v>
      </c>
    </row>
    <row r="8" spans="2:7" ht="21">
      <c r="B8" s="6" t="s">
        <v>7</v>
      </c>
      <c r="C8" s="6"/>
      <c r="D8" s="6"/>
      <c r="E8" s="6"/>
      <c r="F8" s="6"/>
    </row>
    <row r="9" spans="2:7">
      <c r="B9" s="1" t="s">
        <v>9</v>
      </c>
      <c r="C9" s="1" t="s">
        <v>10</v>
      </c>
      <c r="D9" s="1" t="s">
        <v>8</v>
      </c>
      <c r="E9" s="1" t="s">
        <v>1</v>
      </c>
      <c r="F9" s="1" t="s">
        <v>2</v>
      </c>
    </row>
    <row r="10" spans="2:7">
      <c r="B10" s="1">
        <v>1</v>
      </c>
      <c r="C10" s="1" t="s">
        <v>4</v>
      </c>
      <c r="D10" s="1">
        <v>4700</v>
      </c>
      <c r="E10" s="1">
        <v>396</v>
      </c>
      <c r="F10" s="1">
        <f>E10*D10</f>
        <v>1861200</v>
      </c>
    </row>
    <row r="11" spans="2:7">
      <c r="B11" s="1">
        <v>2</v>
      </c>
      <c r="C11" s="1" t="s">
        <v>5</v>
      </c>
      <c r="D11" s="1">
        <v>5500</v>
      </c>
      <c r="E11" s="1">
        <v>288</v>
      </c>
      <c r="F11" s="1">
        <f>E11*D11</f>
        <v>1584000</v>
      </c>
    </row>
    <row r="12" spans="2:7">
      <c r="B12" s="1"/>
      <c r="C12" s="7" t="s">
        <v>11</v>
      </c>
      <c r="D12" s="7"/>
      <c r="E12" s="7"/>
      <c r="F12" s="4">
        <f>SUM(F10:F11)</f>
        <v>3445200</v>
      </c>
    </row>
  </sheetData>
  <mergeCells count="5">
    <mergeCell ref="B2:F2"/>
    <mergeCell ref="B8:F8"/>
    <mergeCell ref="B3:F3"/>
    <mergeCell ref="C7:E7"/>
    <mergeCell ref="C12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</dc:creator>
  <cp:lastModifiedBy>Wel</cp:lastModifiedBy>
  <cp:lastPrinted>2024-08-11T13:34:37Z</cp:lastPrinted>
  <dcterms:created xsi:type="dcterms:W3CDTF">2024-08-11T12:52:40Z</dcterms:created>
  <dcterms:modified xsi:type="dcterms:W3CDTF">2024-08-11T14:00:02Z</dcterms:modified>
</cp:coreProperties>
</file>